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BOM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\$#,##0"/>
  </numFmts>
  <fonts count="14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i val="1"/>
      <color rgb="FF666666"/>
      <sz val="10"/>
    </font>
    <font>
      <name val="Arial"/>
      <b val="1"/>
      <color rgb="FFFFFFFF"/>
      <sz val="10"/>
    </font>
    <font>
      <name val="Arial"/>
      <b val="1"/>
      <sz val="9"/>
    </font>
    <font>
      <name val="Arial"/>
      <sz val="9"/>
    </font>
    <font>
      <name val="Arial"/>
      <color rgb="FF0000FF"/>
      <sz val="9"/>
    </font>
    <font>
      <name val="Arial"/>
      <color rgb="FF000000"/>
      <sz val="9"/>
    </font>
    <font>
      <name val="Arial"/>
      <color rgb="FF0563C1"/>
      <sz val="9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Arial"/>
      <b val="1"/>
      <color rgb="FF1F4E79"/>
      <sz val="9"/>
    </font>
    <font>
      <name val="Arial"/>
      <color rgb="FF888888"/>
      <sz val="9"/>
    </font>
    <font>
      <name val="Arial"/>
      <i val="1"/>
      <color rgb="FF888888"/>
      <sz val="8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2E75B6"/>
      </patternFill>
    </fill>
  </fills>
  <borders count="6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4" fontId="6" fillId="3" borderId="1" pivotButton="0" quotePrefix="0" xfId="0"/>
    <xf numFmtId="164" fontId="7" fillId="3" borderId="1" pivotButton="0" quotePrefix="0" xfId="0"/>
    <xf numFmtId="0" fontId="8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6" fillId="4" borderId="1" pivotButton="0" quotePrefix="0" xfId="0"/>
    <xf numFmtId="164" fontId="7" fillId="4" borderId="1" pivotButton="0" quotePrefix="0" xfId="0"/>
    <xf numFmtId="0" fontId="8" fillId="4" borderId="1" applyAlignment="1" pivotButton="0" quotePrefix="0" xfId="0">
      <alignment horizontal="left" vertical="center" wrapText="1"/>
    </xf>
    <xf numFmtId="164" fontId="9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5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right" vertical="center"/>
    </xf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0" fillId="0" borderId="2" pivotButton="0" quotePrefix="0" xfId="0"/>
    <xf numFmtId="0" fontId="0" fillId="0" borderId="3" pivotButton="0" quotePrefix="0" xfId="0"/>
    <xf numFmtId="0" fontId="1" fillId="2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/>
    </xf>
    <xf numFmtId="0" fontId="9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tabSelected="1" workbookViewId="0">
      <pane ySplit="3" topLeftCell="A7" activePane="bottomLeft" state="frozen"/>
      <selection pane="bottomLeft" activeCell="A2" sqref="A2:I2"/>
    </sheetView>
  </sheetViews>
  <sheetFormatPr baseColWidth="10" defaultColWidth="8.7265625" defaultRowHeight="14.5"/>
  <cols>
    <col width="10" customWidth="1" style="23" min="1" max="1"/>
    <col width="28" customWidth="1" style="23" min="2" max="2"/>
    <col width="48" customWidth="1" style="23" min="3" max="3"/>
    <col width="18" customWidth="1" style="23" min="4" max="4"/>
    <col width="22" customWidth="1" style="23" min="5" max="5"/>
    <col width="26" customWidth="1" style="23" min="6" max="6"/>
    <col width="22" customWidth="1" style="23" min="7" max="8"/>
    <col width="50" customWidth="1" style="23" min="9" max="9"/>
  </cols>
  <sheetData>
    <row r="1" ht="28" customHeight="1" s="23">
      <c r="A1" s="28" t="inlineStr">
        <is>
          <t>BOM — Bill of Materials · Contador de Personas Biblioteca UAI · TEI201</t>
        </is>
      </c>
    </row>
    <row r="2" ht="16" customHeight="1" s="23">
      <c r="A2" s="24" t="inlineStr">
        <is>
          <t>Precios en CLP aproximados — verificar disponibilidad local antes de comprar</t>
        </is>
      </c>
    </row>
    <row r="3" ht="32" customHeight="1" s="23">
      <c r="A3" s="1" t="inlineStr">
        <is>
          <t>Cantidad</t>
        </is>
      </c>
      <c r="B3" s="1" t="inlineStr">
        <is>
          <t>Componente</t>
        </is>
      </c>
      <c r="C3" s="1" t="inlineStr">
        <is>
          <t>Especificación</t>
        </is>
      </c>
      <c r="D3" s="1" t="inlineStr">
        <is>
          <t>Fabricante</t>
        </is>
      </c>
      <c r="E3" s="1" t="inlineStr">
        <is>
          <t>Código / SKU</t>
        </is>
      </c>
      <c r="F3" s="1" t="inlineStr">
        <is>
          <t>Proveedor</t>
        </is>
      </c>
      <c r="G3" s="1" t="inlineStr">
        <is>
          <t>Precio Unitario (CLP)</t>
        </is>
      </c>
      <c r="H3" s="1" t="inlineStr">
        <is>
          <t>Precio Total (CLP)</t>
        </is>
      </c>
      <c r="I3" s="1" t="inlineStr">
        <is>
          <t>Datasheet</t>
        </is>
      </c>
    </row>
    <row r="4" ht="40" customHeight="1" s="23">
      <c r="A4" s="2" t="n">
        <v>1</v>
      </c>
      <c r="B4" s="3" t="inlineStr">
        <is>
          <t>ESP32-S3 Dev Module</t>
        </is>
      </c>
      <c r="C4" s="3" t="inlineStr">
        <is>
          <t>Dual-core Xtensa LX7 240MHz, WiFi 2.4GHz, BT 5.0, 512KB SRAM, 8MB Flash, 45 GPIOs, USB nativo</t>
        </is>
      </c>
      <c r="D4" s="3" t="inlineStr">
        <is>
          <t>Espressif</t>
        </is>
      </c>
      <c r="E4" s="3" t="inlineStr">
        <is>
          <t>ESP32-S3-WROOM-1</t>
        </is>
      </c>
      <c r="F4" s="3" t="inlineStr">
        <is>
          <t>AliExpress / MercadoLibre</t>
        </is>
      </c>
      <c r="G4" s="4" t="n">
        <v>6990</v>
      </c>
      <c r="H4" s="5">
        <f>A4*G4</f>
        <v/>
      </c>
      <c r="I4" s="6" t="inlineStr">
        <is>
          <t>https://www.espressif.com/sites/default/files/documentation/esp32-s3_datasheet_en.pdf</t>
        </is>
      </c>
    </row>
    <row r="5" ht="40" customHeight="1" s="23">
      <c r="A5" s="7" t="n">
        <v>2</v>
      </c>
      <c r="B5" s="8" t="inlineStr">
        <is>
          <t>Sensor Ultrasónico Seeed Grove</t>
        </is>
      </c>
      <c r="C5" s="8" t="inlineStr">
        <is>
          <t>Single-pin SIG, rango 3–350cm, ángulo detección 15°, 3.3V–5V, respuesta &lt;10ms</t>
        </is>
      </c>
      <c r="D5" s="8" t="inlineStr">
        <is>
          <t>Seeed Studio</t>
        </is>
      </c>
      <c r="E5" s="8" t="inlineStr">
        <is>
          <t>101020010</t>
        </is>
      </c>
      <c r="F5" s="8" t="inlineStr">
        <is>
          <t>Seeed Studio / AliExpress</t>
        </is>
      </c>
      <c r="G5" s="9" t="n">
        <v>4990</v>
      </c>
      <c r="H5" s="10">
        <f>A5*G5</f>
        <v/>
      </c>
      <c r="I5" s="11" t="inlineStr">
        <is>
          <t>https://wiki.seeedstudio.com/Grove-Ultrasonic_Ranger/</t>
        </is>
      </c>
    </row>
    <row r="6" ht="40" customHeight="1" s="23">
      <c r="A6" s="2" t="n">
        <v>1</v>
      </c>
      <c r="B6" s="3" t="inlineStr">
        <is>
          <t>Batería Li-ion NCR 18650B</t>
        </is>
      </c>
      <c r="C6" s="3" t="inlineStr">
        <is>
          <t>3400mAh reales, 3.7V nominal, descarga máx 6.8A, ciclos &gt;500, protegida</t>
        </is>
      </c>
      <c r="D6" s="3" t="inlineStr">
        <is>
          <t>Panasonic</t>
        </is>
      </c>
      <c r="E6" s="3" t="inlineStr">
        <is>
          <t>NCR18650B</t>
        </is>
      </c>
      <c r="F6" s="3" t="inlineStr">
        <is>
          <t>Sodimac / MercadoLibre</t>
        </is>
      </c>
      <c r="G6" s="4" t="n">
        <v>2000</v>
      </c>
      <c r="H6" s="5">
        <f>A6*G6</f>
        <v/>
      </c>
      <c r="I6" s="6" t="inlineStr">
        <is>
          <t>https://www.orbtronic.com/content/ncr18650b-datasheet-panasonic-3400mah.pdf</t>
        </is>
      </c>
    </row>
    <row r="7" ht="40" customHeight="1" s="23">
      <c r="A7" s="7" t="n">
        <v>1</v>
      </c>
      <c r="B7" s="8" t="inlineStr">
        <is>
          <t>Shield cargador 18650 con USB-A</t>
        </is>
      </c>
      <c r="C7" s="8" t="inlineStr">
        <is>
          <t>Carga micro-USB, salida USB-A 5V/1A, boost converter integrado, indicador LED</t>
        </is>
      </c>
      <c r="D7" s="8" t="inlineStr">
        <is>
          <t>Genérico</t>
        </is>
      </c>
      <c r="E7" s="8" t="inlineStr">
        <is>
          <t>18650-SHIELD-V3</t>
        </is>
      </c>
      <c r="F7" s="8" t="inlineStr">
        <is>
          <t>AliExpress / MercadoLibre</t>
        </is>
      </c>
      <c r="G7" s="9" t="n">
        <v>3990</v>
      </c>
      <c r="H7" s="10">
        <f>A7*G7</f>
        <v/>
      </c>
      <c r="I7" s="11" t="inlineStr">
        <is>
          <t>https://wiki.seeedstudio.com/Battery-Charger-V1.2/</t>
        </is>
      </c>
    </row>
    <row r="8" ht="40" customHeight="1" s="23">
      <c r="A8" s="2" t="n">
        <v>1</v>
      </c>
      <c r="B8" s="3" t="inlineStr">
        <is>
          <t>Cable USB-A a USB-C</t>
        </is>
      </c>
      <c r="C8" s="3" t="inlineStr">
        <is>
          <t>Para conexión shield → ESP32-S3 por puerto COM/UART, longitud 30cm</t>
        </is>
      </c>
      <c r="D8" s="3" t="inlineStr">
        <is>
          <t>Genérico</t>
        </is>
      </c>
      <c r="E8" s="3" t="inlineStr">
        <is>
          <t>USB-A-C-30CM</t>
        </is>
      </c>
      <c r="F8" s="3" t="inlineStr">
        <is>
          <t>Sodimac / Falabella</t>
        </is>
      </c>
      <c r="G8" s="4" t="n">
        <v>1990</v>
      </c>
      <c r="H8" s="5">
        <f>A8*G8</f>
        <v/>
      </c>
      <c r="I8" s="6" t="inlineStr">
        <is>
          <t>—</t>
        </is>
      </c>
    </row>
    <row r="9" ht="40" customHeight="1" s="23">
      <c r="A9" s="7" t="n">
        <v>1</v>
      </c>
      <c r="B9" s="8" t="inlineStr">
        <is>
          <t>Set jumper wires M-M</t>
        </is>
      </c>
      <c r="C9" s="8" t="inlineStr">
        <is>
          <t>20cm, 40 unidades, para prototipado en protoboard</t>
        </is>
      </c>
      <c r="D9" s="8" t="inlineStr">
        <is>
          <t>Genérico</t>
        </is>
      </c>
      <c r="E9" s="8" t="inlineStr">
        <is>
          <t>JUMPER-MM-40</t>
        </is>
      </c>
      <c r="F9" s="8" t="inlineStr">
        <is>
          <t>AliExpress / MercadoLibre</t>
        </is>
      </c>
      <c r="G9" s="9" t="n">
        <v>1490</v>
      </c>
      <c r="H9" s="10">
        <f>A9*G9</f>
        <v/>
      </c>
      <c r="I9" s="11" t="inlineStr">
        <is>
          <t>—</t>
        </is>
      </c>
    </row>
    <row r="10" ht="40" customHeight="1" s="23">
      <c r="A10" s="2" t="n">
        <v>1</v>
      </c>
      <c r="B10" s="3" t="inlineStr">
        <is>
          <t>Filamento PLA para encapsulado</t>
        </is>
      </c>
      <c r="C10" s="3" t="inlineStr">
        <is>
          <t>PLA 1.75mm, ~50g usados para la caja impresa en 3D, color negro</t>
        </is>
      </c>
      <c r="D10" s="3" t="inlineStr">
        <is>
          <t>Genérico</t>
        </is>
      </c>
      <c r="E10" s="3" t="inlineStr">
        <is>
          <t>PLA-1.75MM</t>
        </is>
      </c>
      <c r="F10" s="3" t="inlineStr">
        <is>
          <t>Impresora 3D UAI</t>
        </is>
      </c>
      <c r="G10" s="4" t="n">
        <v>5000</v>
      </c>
      <c r="H10" s="5" t="n">
        <v>5000</v>
      </c>
      <c r="I10" s="6" t="inlineStr">
        <is>
          <t>—</t>
        </is>
      </c>
    </row>
    <row r="11" ht="40" customHeight="1" s="23">
      <c r="A11" s="7" t="n">
        <v>1</v>
      </c>
      <c r="B11" s="8" t="inlineStr">
        <is>
          <t>Protoboard 400 puntos</t>
        </is>
      </c>
      <c r="C11" s="8" t="inlineStr">
        <is>
          <t>Para conexión de sensores y pruebas, 400 puntos, sin soldadura</t>
        </is>
      </c>
      <c r="D11" s="8" t="inlineStr">
        <is>
          <t>Genérico</t>
        </is>
      </c>
      <c r="E11" s="8" t="inlineStr">
        <is>
          <t>BB-400</t>
        </is>
      </c>
      <c r="F11" s="8" t="inlineStr">
        <is>
          <t>AliExpress / MercadoLibre</t>
        </is>
      </c>
      <c r="G11" s="9" t="n">
        <v>1990</v>
      </c>
      <c r="H11" s="10">
        <f>A11*G11</f>
        <v/>
      </c>
      <c r="I11" s="11" t="inlineStr">
        <is>
          <t>—</t>
        </is>
      </c>
    </row>
    <row r="12" ht="28" customHeight="1" s="23">
      <c r="A12" s="22" t="inlineStr">
        <is>
          <t>COSTO TOTAL ESTIMADO DEL PROYECTO</t>
        </is>
      </c>
      <c r="B12" s="26" t="n"/>
      <c r="C12" s="26" t="n"/>
      <c r="D12" s="26" t="n"/>
      <c r="E12" s="26" t="n"/>
      <c r="F12" s="26" t="n"/>
      <c r="G12" s="27" t="n"/>
      <c r="H12" s="12" t="n">
        <v>33430</v>
      </c>
      <c r="I12" s="13" t="n"/>
    </row>
    <row r="13"/>
    <row r="14">
      <c r="A14" s="25" t="n"/>
    </row>
    <row r="15"/>
    <row r="16" ht="22" customHeight="1" s="23">
      <c r="A16" s="30" t="inlineStr">
        <is>
          <t>DESGLOSE POR CATEGORÍA</t>
        </is>
      </c>
      <c r="B16" s="26" t="n"/>
      <c r="C16" s="26" t="n"/>
      <c r="D16" s="26" t="n"/>
      <c r="E16" s="26" t="n"/>
      <c r="F16" s="26" t="n"/>
      <c r="G16" s="26" t="n"/>
      <c r="H16" s="26" t="n"/>
      <c r="I16" s="27" t="n"/>
    </row>
    <row r="17" ht="22" customHeight="1" s="23">
      <c r="A17" s="14" t="inlineStr">
        <is>
          <t>Categoría</t>
        </is>
      </c>
      <c r="B17" s="14" t="inlineStr">
        <is>
          <t>Componentes incluidos</t>
        </is>
      </c>
      <c r="C17" s="14" t="inlineStr">
        <is>
          <t>Total (CLP)</t>
        </is>
      </c>
    </row>
    <row r="18" ht="20" customHeight="1" s="23">
      <c r="A18" s="15" t="inlineStr">
        <is>
          <t>Microcontrolador</t>
        </is>
      </c>
      <c r="B18" s="16" t="inlineStr">
        <is>
          <t>ESP32-S3 Dev Module (x1)</t>
        </is>
      </c>
      <c r="C18" s="17" t="n">
        <v>6990</v>
      </c>
    </row>
    <row r="19" ht="20" customHeight="1" s="23">
      <c r="A19" s="18" t="inlineStr">
        <is>
          <t>Sensores</t>
        </is>
      </c>
      <c r="B19" s="19" t="inlineStr">
        <is>
          <t>Sensor Ultrasónico Seeed Grove (x2)</t>
        </is>
      </c>
      <c r="C19" s="20" t="n">
        <v>9980</v>
      </c>
    </row>
    <row r="20" ht="20" customHeight="1" s="23">
      <c r="A20" s="15" t="inlineStr">
        <is>
          <t>Actuadores</t>
        </is>
      </c>
      <c r="B20" s="16" t="inlineStr">
        <is>
          <t>No aplica — el sistema es de solo lectura</t>
        </is>
      </c>
      <c r="C20" s="21" t="n">
        <v>0</v>
      </c>
    </row>
    <row r="21" ht="20" customHeight="1" s="23">
      <c r="A21" s="18" t="inlineStr">
        <is>
          <t>Alimentación</t>
        </is>
      </c>
      <c r="B21" s="19" t="inlineStr">
        <is>
          <t>Batería NCR18650B + Shield cargador 18650</t>
        </is>
      </c>
      <c r="C21" s="20" t="n">
        <v>5990</v>
      </c>
    </row>
    <row r="22" ht="20" customHeight="1" s="23">
      <c r="A22" s="15" t="inlineStr">
        <is>
          <t>Estructura/Encapsulado</t>
        </is>
      </c>
      <c r="B22" s="16" t="inlineStr">
        <is>
          <t>Filamento PLA para caja impresa 3D (~50g)</t>
        </is>
      </c>
      <c r="C22" s="17" t="n">
        <v>5000</v>
      </c>
      <c r="F22" t="inlineStr">
        <is>
          <t>Impresora 3D UAI</t>
        </is>
      </c>
      <c r="G22" t="n">
        <v>5000</v>
      </c>
      <c r="H22" t="n">
        <v>5000</v>
      </c>
    </row>
    <row r="23" ht="20" customHeight="1" s="23">
      <c r="A23" s="18" t="inlineStr">
        <is>
          <t>Otros</t>
        </is>
      </c>
      <c r="B23" s="19" t="inlineStr">
        <is>
          <t>Cable USB-A/C + Jumper wires + Protoboard 400 puntos</t>
        </is>
      </c>
      <c r="C23" s="20" t="n">
        <v>5470</v>
      </c>
    </row>
    <row r="24" ht="24" customHeight="1" s="23">
      <c r="A24" s="22" t="inlineStr">
        <is>
          <t>TOTAL PROYECTO</t>
        </is>
      </c>
      <c r="B24" s="27" t="n"/>
      <c r="C24" s="12" t="n">
        <v>33430</v>
      </c>
    </row>
    <row r="25"/>
    <row r="26">
      <c r="A26" s="29" t="n"/>
    </row>
  </sheetData>
  <mergeCells count="7">
    <mergeCell ref="A24:B24"/>
    <mergeCell ref="A2:I2"/>
    <mergeCell ref="A14:I14"/>
    <mergeCell ref="A12:G12"/>
    <mergeCell ref="A1:I1"/>
    <mergeCell ref="A26:I26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2026-06-25T03:21:49Z</dcterms:created>
  <dcterms:modified xmlns:dcterms="http://purl.org/dc/terms/" xmlns:xsi="http://www.w3.org/2001/XMLSchema-instance" xsi:type="dcterms:W3CDTF">2026-06-25T05:19:50Z</dcterms:modified>
  <cp:lastModifiedBy>Cristóbal Alonso Pérez Muñoz</cp:lastModifiedBy>
</cp:coreProperties>
</file>