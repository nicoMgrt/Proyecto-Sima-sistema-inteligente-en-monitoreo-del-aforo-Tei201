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8_{A28562B1-966B-4F13-A782-31AAE1DE40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12" i="1" s="1"/>
</calcChain>
</file>

<file path=xl/sharedStrings.xml><?xml version="1.0" encoding="utf-8"?>
<sst xmlns="http://schemas.openxmlformats.org/spreadsheetml/2006/main" count="59" uniqueCount="49">
  <si>
    <t>BOM — Bill of Materials · Contador de Personas Biblioteca UAI · TEI201</t>
  </si>
  <si>
    <t>Precios en CLP aproximados — verificar disponibilidad local antes de comprar</t>
  </si>
  <si>
    <t>Cantidad</t>
  </si>
  <si>
    <t>Componente</t>
  </si>
  <si>
    <t>Especificación</t>
  </si>
  <si>
    <t>Fabricante</t>
  </si>
  <si>
    <t>Código / SKU</t>
  </si>
  <si>
    <t>Proveedor</t>
  </si>
  <si>
    <t>Precio Unitario (CLP)</t>
  </si>
  <si>
    <t>Precio Total (CLP)</t>
  </si>
  <si>
    <t>Datasheet</t>
  </si>
  <si>
    <t>ESP32-S3 Dev Module</t>
  </si>
  <si>
    <t>Dual-core Xtensa LX7 240MHz, WiFi 2.4GHz, BT 5.0, 512KB SRAM, 8MB Flash, 45 GPIOs, USB nativo</t>
  </si>
  <si>
    <t>Espressif</t>
  </si>
  <si>
    <t>ESP32-S3-WROOM-1</t>
  </si>
  <si>
    <t>AliExpress / MercadoLibre</t>
  </si>
  <si>
    <t>https://www.espressif.com/sites/default/files/documentation/esp32-s3_datasheet_en.pdf</t>
  </si>
  <si>
    <t>Sensor Ultrasónico Seeed Grove</t>
  </si>
  <si>
    <t>Single-pin SIG, rango 3–350cm, ángulo detección 15°, 3.3V–5V, respuesta &lt;10ms</t>
  </si>
  <si>
    <t>Seeed Studio</t>
  </si>
  <si>
    <t>101020010</t>
  </si>
  <si>
    <t>Seeed Studio / AliExpress</t>
  </si>
  <si>
    <t>https://wiki.seeedstudio.com/Grove-Ultrasonic_Ranger/</t>
  </si>
  <si>
    <t>Batería Li-ion NCR 18650B</t>
  </si>
  <si>
    <t>3400mAh reales, 3.7V nominal, descarga máx 6.8A, ciclos &gt;500, protegida</t>
  </si>
  <si>
    <t>Panasonic</t>
  </si>
  <si>
    <t>NCR18650B</t>
  </si>
  <si>
    <t>Sodimac / MercadoLibre</t>
  </si>
  <si>
    <t>Shield cargador 18650 con USB-A</t>
  </si>
  <si>
    <t>Carga micro-USB, salida USB-A 5V/1A, boost converter integrado, indicador LED</t>
  </si>
  <si>
    <t>Genérico</t>
  </si>
  <si>
    <t>18650-SHIELD-V3</t>
  </si>
  <si>
    <t>Cable USB-A a USB-C</t>
  </si>
  <si>
    <t>Para conexión shield → ESP32-S3 por puerto COM/UART, longitud 30cm</t>
  </si>
  <si>
    <t>USB-A-C-30CM</t>
  </si>
  <si>
    <t>Sodimac / Falabella</t>
  </si>
  <si>
    <t>—</t>
  </si>
  <si>
    <t>Set jumper wires M-M</t>
  </si>
  <si>
    <t>20cm, 40 unidades, para prototipado en protoboard</t>
  </si>
  <si>
    <t>JUMPER-MM-40</t>
  </si>
  <si>
    <t>Filamento PLA para encapsulado</t>
  </si>
  <si>
    <t>PLA 1.75mm, ~50g usados para la caja impresa en 3D, color negro</t>
  </si>
  <si>
    <t>PLA-1.75MM</t>
  </si>
  <si>
    <t>Impresora 3D UAI / AliExpress</t>
  </si>
  <si>
    <t>Protoboard 400 puntos</t>
  </si>
  <si>
    <t>Para conexión de sensores y pruebas, 400 puntos, sin soldadura</t>
  </si>
  <si>
    <t>BB-400</t>
  </si>
  <si>
    <t>COSTO TOTAL ESTIMADO DEL PROYECTO</t>
  </si>
  <si>
    <t>https://www.tme.eu/Document/3e0170a1e089819f286f7066e69035b4/NCR18650B.pdf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</si>
</sst>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sz val="9"/>
      <color rgb="FF0000FF"/>
      <name val="Arial"/>
    </font>
    <font>
      <sz val="9"/>
      <color rgb="FF000000"/>
      <name val="Arial"/>
    </font>
    <font>
      <sz val="9"/>
      <color rgb="FF0563C1"/>
      <name val="Arial"/>
    </font>
    <font>
      <b/>
      <sz val="11"/>
      <color rgb="FFFFFFFF"/>
      <name val="Arial"/>
    </font>
    <font>
      <i/>
      <sz val="9"/>
      <color rgb="FF888888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6" fillId="3" borderId="1" xfId="0" applyNumberFormat="1" applyFont="1" applyFill="1" applyBorder="1"/>
    <xf numFmtId="164" fontId="7" fillId="3" borderId="1" xfId="0" applyNumberFormat="1" applyFont="1" applyFill="1" applyBorder="1"/>
    <xf numFmtId="0" fontId="8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/>
    <xf numFmtId="164" fontId="7" fillId="4" borderId="1" xfId="0" applyNumberFormat="1" applyFont="1" applyFill="1" applyBorder="1"/>
    <xf numFmtId="0" fontId="8" fillId="4" borderId="1" xfId="0" applyFont="1" applyFill="1" applyBorder="1" applyAlignment="1">
      <alignment horizontal="left" vertical="center" wrapText="1"/>
    </xf>
    <xf numFmtId="164" fontId="9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9" fillId="5" borderId="1" xfId="0" applyFont="1" applyFill="1" applyBorder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pane ySplit="3" topLeftCell="A4" activePane="bottomLeft" state="frozen"/>
      <selection pane="bottomLeft" activeCell="A2" sqref="A2:I2"/>
    </sheetView>
  </sheetViews>
  <sheetFormatPr baseColWidth="10" defaultColWidth="8.7265625" defaultRowHeight="14.5" x14ac:dyDescent="0.35"/>
  <cols>
    <col min="1" max="1" width="10" customWidth="1"/>
    <col min="2" max="2" width="28" customWidth="1"/>
    <col min="3" max="3" width="48" customWidth="1"/>
    <col min="4" max="4" width="18" customWidth="1"/>
    <col min="5" max="5" width="22" customWidth="1"/>
    <col min="6" max="6" width="26" customWidth="1"/>
    <col min="7" max="8" width="22" customWidth="1"/>
    <col min="9" max="9" width="50" customWidth="1"/>
  </cols>
  <sheetData>
    <row r="1" spans="1:9" ht="28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2" spans="1:9" ht="16" customHeight="1" x14ac:dyDescent="0.35">
      <c r="A2" s="17" t="s">
        <v>1</v>
      </c>
      <c r="B2" s="15"/>
      <c r="C2" s="15"/>
      <c r="D2" s="15"/>
      <c r="E2" s="15"/>
      <c r="F2" s="15"/>
      <c r="G2" s="15"/>
      <c r="H2" s="15"/>
      <c r="I2" s="15"/>
    </row>
    <row r="3" spans="1:9" ht="32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40" customHeight="1" x14ac:dyDescent="0.35">
      <c r="A4" s="2">
        <v>1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4">
        <v>6990</v>
      </c>
      <c r="H4" s="5">
        <f t="shared" ref="H4:H11" si="0">A4*G4</f>
        <v>6990</v>
      </c>
      <c r="I4" s="6" t="s">
        <v>16</v>
      </c>
    </row>
    <row r="5" spans="1:9" ht="40" customHeight="1" x14ac:dyDescent="0.35">
      <c r="A5" s="7">
        <v>2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9">
        <v>4990</v>
      </c>
      <c r="H5" s="10">
        <f t="shared" si="0"/>
        <v>9980</v>
      </c>
      <c r="I5" s="11" t="s">
        <v>22</v>
      </c>
    </row>
    <row r="6" spans="1:9" ht="40" customHeight="1" x14ac:dyDescent="0.35">
      <c r="A6" s="2">
        <v>1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4">
        <v>2000</v>
      </c>
      <c r="H6" s="5">
        <f t="shared" si="0"/>
        <v>2000</v>
      </c>
      <c r="I6" s="6" t="s">
        <v>48</v>
      </c>
    </row>
    <row r="7" spans="1:9" ht="40" customHeight="1" x14ac:dyDescent="0.35">
      <c r="A7" s="7">
        <v>1</v>
      </c>
      <c r="B7" s="8" t="s">
        <v>28</v>
      </c>
      <c r="C7" s="8" t="s">
        <v>29</v>
      </c>
      <c r="D7" s="8" t="s">
        <v>30</v>
      </c>
      <c r="E7" s="8" t="s">
        <v>31</v>
      </c>
      <c r="F7" s="8" t="s">
        <v>15</v>
      </c>
      <c r="G7" s="9">
        <v>3990</v>
      </c>
      <c r="H7" s="10">
        <f t="shared" si="0"/>
        <v>3990</v>
      </c>
      <c r="I7" s="19"/>
    </row>
    <row r="8" spans="1:9" ht="40" customHeight="1" x14ac:dyDescent="0.35">
      <c r="A8" s="2">
        <v>1</v>
      </c>
      <c r="B8" s="3" t="s">
        <v>32</v>
      </c>
      <c r="C8" s="3" t="s">
        <v>33</v>
      </c>
      <c r="D8" s="3" t="s">
        <v>30</v>
      </c>
      <c r="E8" s="3" t="s">
        <v>34</v>
      </c>
      <c r="F8" s="3" t="s">
        <v>35</v>
      </c>
      <c r="G8" s="4">
        <v>1990</v>
      </c>
      <c r="H8" s="5">
        <f t="shared" si="0"/>
        <v>1990</v>
      </c>
      <c r="I8" s="6" t="s">
        <v>36</v>
      </c>
    </row>
    <row r="9" spans="1:9" ht="40" customHeight="1" x14ac:dyDescent="0.35">
      <c r="A9" s="7">
        <v>1</v>
      </c>
      <c r="B9" s="8" t="s">
        <v>37</v>
      </c>
      <c r="C9" s="8" t="s">
        <v>38</v>
      </c>
      <c r="D9" s="8" t="s">
        <v>30</v>
      </c>
      <c r="E9" s="8" t="s">
        <v>39</v>
      </c>
      <c r="F9" s="8" t="s">
        <v>15</v>
      </c>
      <c r="G9" s="9">
        <v>1490</v>
      </c>
      <c r="H9" s="10">
        <f t="shared" si="0"/>
        <v>1490</v>
      </c>
      <c r="I9" s="11" t="s">
        <v>36</v>
      </c>
    </row>
    <row r="10" spans="1:9" ht="40" customHeight="1" x14ac:dyDescent="0.35">
      <c r="A10" s="2">
        <v>1</v>
      </c>
      <c r="B10" s="3" t="s">
        <v>40</v>
      </c>
      <c r="C10" s="3" t="s">
        <v>41</v>
      </c>
      <c r="D10" s="3" t="s">
        <v>30</v>
      </c>
      <c r="E10" s="3" t="s">
        <v>42</v>
      </c>
      <c r="F10" s="3" t="s">
        <v>43</v>
      </c>
      <c r="G10" s="4">
        <v>0</v>
      </c>
      <c r="H10" s="5">
        <f t="shared" si="0"/>
        <v>0</v>
      </c>
      <c r="I10" s="6" t="s">
        <v>36</v>
      </c>
    </row>
    <row r="11" spans="1:9" ht="40" customHeight="1" x14ac:dyDescent="0.35">
      <c r="A11" s="7">
        <v>1</v>
      </c>
      <c r="B11" s="8" t="s">
        <v>44</v>
      </c>
      <c r="C11" s="8" t="s">
        <v>45</v>
      </c>
      <c r="D11" s="8" t="s">
        <v>30</v>
      </c>
      <c r="E11" s="8" t="s">
        <v>46</v>
      </c>
      <c r="F11" s="8" t="s">
        <v>15</v>
      </c>
      <c r="G11" s="9">
        <v>1990</v>
      </c>
      <c r="H11" s="10">
        <f t="shared" si="0"/>
        <v>1990</v>
      </c>
      <c r="I11" s="11" t="s">
        <v>36</v>
      </c>
    </row>
    <row r="12" spans="1:9" ht="28" customHeight="1" x14ac:dyDescent="0.35">
      <c r="A12" s="18" t="s">
        <v>47</v>
      </c>
      <c r="B12" s="15"/>
      <c r="C12" s="15"/>
      <c r="D12" s="15"/>
      <c r="E12" s="15"/>
      <c r="F12" s="15"/>
      <c r="G12" s="15"/>
      <c r="H12" s="12">
        <f>SUM(H4:H11)</f>
        <v>28430</v>
      </c>
      <c r="I12" s="13"/>
    </row>
    <row r="14" spans="1:9" x14ac:dyDescent="0.35">
      <c r="A14" s="16"/>
      <c r="B14" s="15"/>
      <c r="C14" s="15"/>
      <c r="D14" s="15"/>
      <c r="E14" s="15"/>
      <c r="F14" s="15"/>
      <c r="G14" s="15"/>
      <c r="H14" s="15"/>
      <c r="I14" s="15"/>
    </row>
  </sheetData>
  <mergeCells count="4">
    <mergeCell ref="A1:I1"/>
    <mergeCell ref="A14:I14"/>
    <mergeCell ref="A2:I2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Cristóbal Alonso Pérez Muñoz</cp:lastModifiedBy>
  <dcterms:created xsi:type="dcterms:W3CDTF">2026-06-25T03:21:49Z</dcterms:created>
  <dcterms:modified xsi:type="dcterms:W3CDTF">2026-06-25T03:46:01Z</dcterms:modified>
</cp:coreProperties>
</file>